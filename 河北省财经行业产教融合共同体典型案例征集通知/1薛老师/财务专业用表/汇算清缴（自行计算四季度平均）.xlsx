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<sst xmlns="http://schemas.openxmlformats.org/spreadsheetml/2006/main" count="81" uniqueCount="11">
  <si>
    <t>文武轩</t>
  </si>
  <si>
    <t>资产总额</t>
  </si>
  <si>
    <t>人数</t>
  </si>
  <si>
    <t>年初</t>
  </si>
  <si>
    <t>1季度</t>
  </si>
  <si>
    <t>2季度</t>
  </si>
  <si>
    <t>3季度</t>
  </si>
  <si>
    <t>4季度</t>
  </si>
  <si>
    <t>平均值（万元）</t>
  </si>
  <si>
    <t>负债总额</t>
  </si>
  <si>
    <t>所有者权益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</si>
</sst>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rgb="FF333333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176" fontId="0" fillId="0" borderId="0" xfId="0" applyNumberFormat="1" applyFont="1" applyFill="1" applyAlignment="1">
      <alignment vertical="center"/>
    </xf>
    <xf numFmtId="177" fontId="0" fillId="0" borderId="0" xfId="0" applyNumberFormat="1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vertical="center"/>
    </xf>
    <xf numFmtId="177" fontId="0" fillId="0" borderId="1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176" fontId="0" fillId="0" borderId="0" xfId="0" applyNumberFormat="1" applyFont="1" applyFill="1" applyBorder="1" applyAlignment="1">
      <alignment vertical="center"/>
    </xf>
    <xf numFmtId="177" fontId="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4" fontId="2" fillId="0" borderId="1" xfId="0" applyNumberFormat="1" applyFont="1" applyBorder="1">
      <alignment vertical="center"/>
    </xf>
    <xf numFmtId="4" fontId="2" fillId="0" borderId="1" xfId="0" applyNumberFormat="1" applyFont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tabSelected="1" topLeftCell="A10" workbookViewId="0">
      <selection activeCell="M30" sqref="M30"/>
    </sheetView>
  </sheetViews>
  <sheetFormatPr defaultColWidth="9" defaultRowHeight="14.4"/>
  <cols>
    <col min="1" max="1" width="15" style="3" customWidth="1"/>
    <col min="2" max="2" width="16" style="4" customWidth="1"/>
    <col min="3" max="3" width="9" style="5"/>
    <col min="4" max="4" width="9" style="2"/>
    <col min="5" max="5" width="15" style="3" customWidth="1"/>
    <col min="6" max="6" width="16" style="4"/>
    <col min="7" max="7" width="9" style="5"/>
    <col min="8" max="8" width="9" style="2"/>
    <col min="9" max="9" width="15" style="2" customWidth="1"/>
    <col min="10" max="10" width="12.6296296296296" style="2"/>
    <col min="11" max="13" width="9" style="2"/>
    <col min="14" max="14" width="12.6296296296296" style="2"/>
    <col min="15" max="16384" width="9" style="2"/>
  </cols>
  <sheetData>
    <row r="1" s="1" customFormat="1" spans="1:15">
      <c r="A1" s="6" t="s">
        <v>0</v>
      </c>
      <c r="B1" s="7" t="s">
        <v>1</v>
      </c>
      <c r="C1" s="8" t="s">
        <v>2</v>
      </c>
      <c r="E1" s="9"/>
      <c r="F1" s="10"/>
      <c r="G1" s="11"/>
      <c r="H1" s="9"/>
      <c r="I1" s="9"/>
      <c r="J1" s="10"/>
      <c r="K1" s="11"/>
      <c r="L1" s="9"/>
      <c r="M1" s="9"/>
      <c r="N1" s="10"/>
      <c r="O1" s="11"/>
    </row>
    <row r="2" s="2" customFormat="1" spans="1:15">
      <c r="A2" s="12" t="s">
        <v>3</v>
      </c>
      <c r="B2" s="13">
        <v>4599000.36</v>
      </c>
      <c r="C2" s="14">
        <v>5</v>
      </c>
      <c r="E2" s="15"/>
      <c r="F2" s="16"/>
      <c r="G2" s="17"/>
      <c r="H2" s="18"/>
      <c r="I2" s="15"/>
      <c r="J2" s="16"/>
      <c r="K2" s="17"/>
      <c r="L2" s="18"/>
      <c r="M2" s="15"/>
      <c r="N2" s="16"/>
      <c r="O2" s="17"/>
    </row>
    <row r="3" s="2" customFormat="1" spans="1:15">
      <c r="A3" s="12" t="s">
        <v>4</v>
      </c>
      <c r="B3" s="13">
        <v>5199519.91</v>
      </c>
      <c r="C3" s="14">
        <v>5</v>
      </c>
      <c r="E3" s="15"/>
      <c r="F3" s="16"/>
      <c r="G3" s="17"/>
      <c r="H3" s="18"/>
      <c r="I3" s="15"/>
      <c r="J3" s="16"/>
      <c r="K3" s="17"/>
      <c r="L3" s="18"/>
      <c r="M3" s="15"/>
      <c r="N3" s="16"/>
      <c r="O3" s="17"/>
    </row>
    <row r="4" s="2" customFormat="1" spans="1:15">
      <c r="A4" s="12" t="s">
        <v>5</v>
      </c>
      <c r="B4" s="13">
        <v>5711919.89</v>
      </c>
      <c r="C4" s="14">
        <v>5</v>
      </c>
      <c r="E4" s="15"/>
      <c r="F4" s="16"/>
      <c r="G4" s="17"/>
      <c r="H4" s="18"/>
      <c r="I4" s="15"/>
      <c r="J4" s="16"/>
      <c r="K4" s="17"/>
      <c r="L4" s="18"/>
      <c r="M4" s="15"/>
      <c r="N4" s="16"/>
      <c r="O4" s="17"/>
    </row>
    <row r="5" s="2" customFormat="1" spans="1:15">
      <c r="A5" s="12" t="s">
        <v>6</v>
      </c>
      <c r="B5" s="13">
        <v>6091706.75</v>
      </c>
      <c r="C5" s="14">
        <v>5</v>
      </c>
      <c r="E5" s="15"/>
      <c r="F5" s="16"/>
      <c r="G5" s="17"/>
      <c r="H5" s="18"/>
      <c r="I5" s="15"/>
      <c r="J5" s="16"/>
      <c r="K5" s="17"/>
      <c r="L5" s="18"/>
      <c r="M5" s="15"/>
      <c r="N5" s="16"/>
      <c r="O5" s="17"/>
    </row>
    <row r="6" s="2" customFormat="1" spans="1:15">
      <c r="A6" s="12" t="s">
        <v>7</v>
      </c>
      <c r="B6" s="13">
        <v>6125443.99</v>
      </c>
      <c r="C6" s="14">
        <v>13</v>
      </c>
      <c r="E6" s="15"/>
      <c r="F6" s="16"/>
      <c r="G6" s="17"/>
      <c r="H6" s="18"/>
      <c r="I6" s="15"/>
      <c r="J6" s="16"/>
      <c r="K6" s="17"/>
      <c r="L6" s="18"/>
      <c r="M6" s="15"/>
      <c r="N6" s="16"/>
      <c r="O6" s="17"/>
    </row>
    <row r="7" s="2" customFormat="1" spans="1:15">
      <c r="A7" s="12" t="s">
        <v>8</v>
      </c>
      <c r="B7" s="13">
        <f>(B2+2*(B3+B4+B5)+B6)/8/10000</f>
        <v>559.134218125</v>
      </c>
      <c r="C7" s="14">
        <f>(C2+2*(C3+C4+C5)+C6)/8</f>
        <v>6</v>
      </c>
      <c r="E7" s="15"/>
      <c r="F7" s="16"/>
      <c r="G7" s="17"/>
      <c r="H7" s="18"/>
      <c r="I7" s="15"/>
      <c r="J7" s="16"/>
      <c r="K7" s="17"/>
      <c r="L7" s="18"/>
      <c r="M7" s="15"/>
      <c r="N7" s="16"/>
      <c r="O7" s="17"/>
    </row>
    <row r="8" s="2" customFormat="1" spans="1:15">
      <c r="A8" s="3"/>
      <c r="B8" s="4"/>
      <c r="C8" s="5"/>
      <c r="E8" s="15"/>
      <c r="F8" s="16"/>
      <c r="G8" s="17"/>
      <c r="H8" s="18"/>
      <c r="I8" s="18"/>
      <c r="J8" s="18"/>
      <c r="K8" s="18"/>
      <c r="L8" s="18"/>
      <c r="M8" s="18"/>
      <c r="N8" s="18"/>
      <c r="O8" s="18"/>
    </row>
    <row r="9" s="2" customFormat="1" spans="1:7">
      <c r="A9" s="3"/>
      <c r="B9" s="4"/>
      <c r="C9" s="5"/>
      <c r="E9" s="3"/>
      <c r="F9" s="4"/>
      <c r="G9" s="5"/>
    </row>
    <row r="10" s="2" customFormat="1" spans="1:11">
      <c r="A10" s="6"/>
      <c r="B10" s="7" t="s">
        <v>1</v>
      </c>
      <c r="C10" s="8" t="s">
        <v>2</v>
      </c>
      <c r="D10" s="1"/>
      <c r="E10" s="6"/>
      <c r="F10" s="7" t="s">
        <v>9</v>
      </c>
      <c r="G10" s="8" t="s">
        <v>2</v>
      </c>
      <c r="H10" s="1"/>
      <c r="I10" s="6"/>
      <c r="J10" s="7" t="s">
        <v>10</v>
      </c>
      <c r="K10" s="8" t="s">
        <v>2</v>
      </c>
    </row>
    <row r="11" s="2" customFormat="1" spans="1:11">
      <c r="A11" s="12" t="s">
        <v>3</v>
      </c>
      <c r="B11" s="13">
        <v>2020980.55</v>
      </c>
      <c r="C11" s="14">
        <v>2</v>
      </c>
      <c r="E11" s="12" t="s">
        <v>3</v>
      </c>
      <c r="F11" s="13">
        <v>971761.7</v>
      </c>
      <c r="G11" s="14">
        <v>2</v>
      </c>
      <c r="I11" s="12" t="s">
        <v>3</v>
      </c>
      <c r="J11" s="13">
        <v>1049218.85</v>
      </c>
      <c r="K11" s="14">
        <v>2</v>
      </c>
    </row>
    <row r="12" s="2" customFormat="1" spans="1:11">
      <c r="A12" s="12" t="s">
        <v>4</v>
      </c>
      <c r="B12" s="13">
        <v>2135257.09</v>
      </c>
      <c r="C12" s="14">
        <v>2</v>
      </c>
      <c r="E12" s="12" t="s">
        <v>4</v>
      </c>
      <c r="F12" s="13">
        <v>1066878.36</v>
      </c>
      <c r="G12" s="14">
        <v>2</v>
      </c>
      <c r="I12" s="12" t="s">
        <v>4</v>
      </c>
      <c r="J12" s="13">
        <v>1068378.73</v>
      </c>
      <c r="K12" s="14">
        <v>2</v>
      </c>
    </row>
    <row r="13" s="2" customFormat="1" spans="1:11">
      <c r="A13" s="12" t="s">
        <v>5</v>
      </c>
      <c r="B13" s="13">
        <v>2412893.46</v>
      </c>
      <c r="C13" s="14">
        <v>2</v>
      </c>
      <c r="E13" s="12" t="s">
        <v>5</v>
      </c>
      <c r="F13" s="13">
        <v>1378414.94</v>
      </c>
      <c r="G13" s="14">
        <v>2</v>
      </c>
      <c r="I13" s="12" t="s">
        <v>5</v>
      </c>
      <c r="J13" s="13">
        <v>1034478.52</v>
      </c>
      <c r="K13" s="14">
        <v>2</v>
      </c>
    </row>
    <row r="14" s="2" customFormat="1" spans="1:11">
      <c r="A14" s="12" t="s">
        <v>6</v>
      </c>
      <c r="B14" s="13">
        <v>2665295.28</v>
      </c>
      <c r="C14" s="14">
        <v>2</v>
      </c>
      <c r="E14" s="12" t="s">
        <v>6</v>
      </c>
      <c r="F14" s="13">
        <v>1641275.49</v>
      </c>
      <c r="G14" s="14">
        <v>2</v>
      </c>
      <c r="I14" s="12" t="s">
        <v>6</v>
      </c>
      <c r="J14" s="13">
        <v>1024019.79</v>
      </c>
      <c r="K14" s="14">
        <v>2</v>
      </c>
    </row>
    <row r="15" s="2" customFormat="1" spans="1:11">
      <c r="A15" s="12" t="s">
        <v>7</v>
      </c>
      <c r="B15" s="13">
        <v>2384950.96</v>
      </c>
      <c r="C15" s="14">
        <v>2</v>
      </c>
      <c r="E15" s="12" t="s">
        <v>7</v>
      </c>
      <c r="F15" s="13">
        <v>1362153.63</v>
      </c>
      <c r="G15" s="14">
        <v>2</v>
      </c>
      <c r="I15" s="12" t="s">
        <v>7</v>
      </c>
      <c r="J15" s="13">
        <v>1022797.33</v>
      </c>
      <c r="K15" s="14">
        <v>2</v>
      </c>
    </row>
    <row r="16" s="2" customFormat="1" spans="1:11">
      <c r="A16" s="12" t="s">
        <v>8</v>
      </c>
      <c r="B16" s="13">
        <f>(B11+2*(B12+B13+B14)+B15)/8/10000</f>
        <v>235.410289625</v>
      </c>
      <c r="C16" s="14">
        <f>(C11+2*(C12+C13+C14)+C15)/8</f>
        <v>2</v>
      </c>
      <c r="E16" s="12" t="s">
        <v>8</v>
      </c>
      <c r="F16" s="13">
        <f>(F11+2*(F12+F13+F14)+F15)/8/10000</f>
        <v>131.338161375</v>
      </c>
      <c r="G16" s="14">
        <f>(G11+2*(G12+G13+G14)+G15)/8</f>
        <v>2</v>
      </c>
      <c r="I16" s="12" t="s">
        <v>8</v>
      </c>
      <c r="J16" s="13">
        <f>(J11+2*(J12+J13+J14)+J15)/8/10000</f>
        <v>104.07212825</v>
      </c>
      <c r="K16" s="14">
        <f>(K11+2*(K12+K13+K14)+K15)/8</f>
        <v>2</v>
      </c>
    </row>
    <row r="17" s="2" customFormat="1" spans="1:7">
      <c r="A17" s="3"/>
      <c r="B17" s="4"/>
      <c r="C17" s="5"/>
      <c r="E17" s="3"/>
      <c r="F17" s="4"/>
      <c r="G17" s="5"/>
    </row>
    <row r="18" s="2" customFormat="1" spans="1:7">
      <c r="A18" s="3"/>
      <c r="B18" s="4"/>
      <c r="C18" s="5"/>
      <c r="E18" s="3"/>
      <c r="F18" s="4"/>
      <c r="G18" s="5"/>
    </row>
    <row r="19" s="2" customFormat="1" spans="1:11">
      <c r="A19" s="12"/>
      <c r="B19" s="13" t="s">
        <v>1</v>
      </c>
      <c r="C19" s="14" t="s">
        <v>2</v>
      </c>
      <c r="E19" s="12"/>
      <c r="F19" s="19" t="s">
        <v>9</v>
      </c>
      <c r="G19" s="19" t="s">
        <v>2</v>
      </c>
      <c r="I19" s="12"/>
      <c r="J19" s="19" t="s">
        <v>10</v>
      </c>
      <c r="K19" s="19" t="s">
        <v>2</v>
      </c>
    </row>
    <row r="20" s="2" customFormat="1" spans="1:11">
      <c r="A20" s="12" t="s">
        <v>3</v>
      </c>
      <c r="B20" s="13">
        <v>183673.14</v>
      </c>
      <c r="C20" s="14">
        <v>2</v>
      </c>
      <c r="E20" s="19" t="s">
        <v>3</v>
      </c>
      <c r="F20" s="19">
        <v>97692.32</v>
      </c>
      <c r="G20" s="19">
        <v>2</v>
      </c>
      <c r="I20" s="19" t="s">
        <v>3</v>
      </c>
      <c r="J20" s="19">
        <v>85980.82</v>
      </c>
      <c r="K20" s="19">
        <v>2</v>
      </c>
    </row>
    <row r="21" s="2" customFormat="1" spans="1:11">
      <c r="A21" s="12" t="s">
        <v>4</v>
      </c>
      <c r="B21" s="13">
        <v>132127.82</v>
      </c>
      <c r="C21" s="14">
        <v>2</v>
      </c>
      <c r="E21" s="19" t="s">
        <v>4</v>
      </c>
      <c r="F21" s="19">
        <v>52106.85</v>
      </c>
      <c r="G21" s="19">
        <v>2</v>
      </c>
      <c r="I21" s="19" t="s">
        <v>4</v>
      </c>
      <c r="J21" s="19">
        <v>80020.97</v>
      </c>
      <c r="K21" s="19">
        <v>2</v>
      </c>
    </row>
    <row r="22" s="2" customFormat="1" spans="1:11">
      <c r="A22" s="12" t="s">
        <v>5</v>
      </c>
      <c r="B22" s="13">
        <v>128548.26</v>
      </c>
      <c r="C22" s="14">
        <v>2</v>
      </c>
      <c r="E22" s="19" t="s">
        <v>5</v>
      </c>
      <c r="F22" s="19">
        <v>52106.85</v>
      </c>
      <c r="G22" s="19">
        <v>2</v>
      </c>
      <c r="I22" s="19" t="s">
        <v>5</v>
      </c>
      <c r="J22" s="19">
        <v>76441.41</v>
      </c>
      <c r="K22" s="19">
        <v>2</v>
      </c>
    </row>
    <row r="23" s="2" customFormat="1" spans="1:11">
      <c r="A23" s="12" t="s">
        <v>6</v>
      </c>
      <c r="B23" s="13">
        <v>126437.95</v>
      </c>
      <c r="C23" s="14">
        <v>2</v>
      </c>
      <c r="E23" s="19" t="s">
        <v>6</v>
      </c>
      <c r="F23" s="19">
        <v>53814.11</v>
      </c>
      <c r="G23" s="19">
        <v>2</v>
      </c>
      <c r="I23" s="19" t="s">
        <v>6</v>
      </c>
      <c r="J23" s="19">
        <v>72623.84</v>
      </c>
      <c r="K23" s="19">
        <v>2</v>
      </c>
    </row>
    <row r="24" s="2" customFormat="1" spans="1:11">
      <c r="A24" s="12" t="s">
        <v>7</v>
      </c>
      <c r="B24" s="13">
        <v>124021.98</v>
      </c>
      <c r="C24" s="14">
        <v>2</v>
      </c>
      <c r="E24" s="19" t="s">
        <v>7</v>
      </c>
      <c r="F24" s="19">
        <v>55521.37</v>
      </c>
      <c r="G24" s="19">
        <v>2</v>
      </c>
      <c r="I24" s="19" t="s">
        <v>7</v>
      </c>
      <c r="J24" s="19">
        <v>68500.61</v>
      </c>
      <c r="K24" s="19">
        <v>2</v>
      </c>
    </row>
    <row r="25" s="2" customFormat="1" spans="1:11">
      <c r="A25" s="12" t="s">
        <v>8</v>
      </c>
      <c r="B25" s="13">
        <f>(B20+2*(B21+B22+B23)+B24)/8/10000</f>
        <v>13.52403975</v>
      </c>
      <c r="C25" s="14">
        <f>(C20+2*(C21+C22+C23)+C24)/8</f>
        <v>2</v>
      </c>
      <c r="E25" s="12" t="s">
        <v>8</v>
      </c>
      <c r="F25" s="13">
        <f>(F20+2*(F21+F22+F23)+F24)/8/10000</f>
        <v>5.865866375</v>
      </c>
      <c r="G25" s="14">
        <f>(G20+2*(G21+G22+G23)+G24)/8</f>
        <v>2</v>
      </c>
      <c r="I25" s="12" t="s">
        <v>8</v>
      </c>
      <c r="J25" s="13">
        <f>(J20+2*(J21+J22+J23)+J24)/8/10000</f>
        <v>7.658173375</v>
      </c>
      <c r="K25" s="14">
        <f>(K20+2*(K21+K22+K23)+K24)/8</f>
        <v>2</v>
      </c>
    </row>
    <row r="28" s="2" customFormat="1" spans="1:11">
      <c r="A28" s="12"/>
      <c r="B28" s="13" t="s">
        <v>1</v>
      </c>
      <c r="C28" s="14" t="s">
        <v>2</v>
      </c>
      <c r="E28" s="12"/>
      <c r="F28" s="19" t="s">
        <v>9</v>
      </c>
      <c r="G28" s="19" t="s">
        <v>2</v>
      </c>
      <c r="I28" s="12"/>
      <c r="J28" s="19" t="s">
        <v>10</v>
      </c>
      <c r="K28" s="19" t="s">
        <v>2</v>
      </c>
    </row>
    <row r="29" s="2" customFormat="1" spans="1:11">
      <c r="A29" s="12" t="s">
        <v>3</v>
      </c>
      <c r="B29" s="13">
        <v>14745119.13</v>
      </c>
      <c r="C29" s="14">
        <v>2</v>
      </c>
      <c r="E29" s="19" t="s">
        <v>3</v>
      </c>
      <c r="F29" s="19">
        <v>97692.32</v>
      </c>
      <c r="G29" s="19">
        <v>2</v>
      </c>
      <c r="I29" s="19" t="s">
        <v>3</v>
      </c>
      <c r="J29" s="19">
        <v>85980.82</v>
      </c>
      <c r="K29" s="19">
        <v>2</v>
      </c>
    </row>
    <row r="30" s="2" customFormat="1" spans="1:11">
      <c r="A30" s="12" t="s">
        <v>4</v>
      </c>
      <c r="B30" s="20">
        <v>8749430.5</v>
      </c>
      <c r="C30" s="14">
        <v>2</v>
      </c>
      <c r="E30" s="19" t="s">
        <v>4</v>
      </c>
      <c r="F30" s="19">
        <v>52106.85</v>
      </c>
      <c r="G30" s="19">
        <v>2</v>
      </c>
      <c r="I30" s="19" t="s">
        <v>4</v>
      </c>
      <c r="J30" s="19">
        <v>80020.97</v>
      </c>
      <c r="K30" s="19">
        <v>2</v>
      </c>
    </row>
    <row r="31" s="2" customFormat="1" spans="1:11">
      <c r="A31" s="12" t="s">
        <v>5</v>
      </c>
      <c r="B31" s="21">
        <v>8751291.4</v>
      </c>
      <c r="C31" s="14">
        <v>2</v>
      </c>
      <c r="E31" s="19" t="s">
        <v>5</v>
      </c>
      <c r="F31" s="19">
        <v>52106.85</v>
      </c>
      <c r="G31" s="19">
        <v>2</v>
      </c>
      <c r="I31" s="19" t="s">
        <v>5</v>
      </c>
      <c r="J31" s="19">
        <v>76441.41</v>
      </c>
      <c r="K31" s="19">
        <v>2</v>
      </c>
    </row>
    <row r="32" s="2" customFormat="1" spans="1:11">
      <c r="A32" s="12" t="s">
        <v>6</v>
      </c>
      <c r="B32" s="20">
        <v>8784082.98</v>
      </c>
      <c r="C32" s="14">
        <v>2</v>
      </c>
      <c r="E32" s="19" t="s">
        <v>6</v>
      </c>
      <c r="F32" s="19">
        <v>53814.11</v>
      </c>
      <c r="G32" s="19">
        <v>2</v>
      </c>
      <c r="I32" s="19" t="s">
        <v>6</v>
      </c>
      <c r="J32" s="19">
        <v>72623.84</v>
      </c>
      <c r="K32" s="19">
        <v>2</v>
      </c>
    </row>
    <row r="33" s="2" customFormat="1" spans="1:11">
      <c r="A33" s="12" t="s">
        <v>7</v>
      </c>
      <c r="B33" s="20">
        <v>8785387.26</v>
      </c>
      <c r="C33" s="14">
        <v>2</v>
      </c>
      <c r="E33" s="19" t="s">
        <v>7</v>
      </c>
      <c r="F33" s="19">
        <v>55521.37</v>
      </c>
      <c r="G33" s="19">
        <v>2</v>
      </c>
      <c r="I33" s="19" t="s">
        <v>7</v>
      </c>
      <c r="J33" s="19">
        <v>68500.61</v>
      </c>
      <c r="K33" s="19">
        <v>2</v>
      </c>
    </row>
    <row r="34" s="2" customFormat="1" spans="1:11">
      <c r="A34" s="12" t="s">
        <v>8</v>
      </c>
      <c r="B34" s="13">
        <f>(B29+2*(B30+B31+B32)+B33)/8/10000</f>
        <v>951.251451875</v>
      </c>
      <c r="C34" s="14">
        <f>(C29+2*(C30+C31+C32)+C33)/8</f>
        <v>2</v>
      </c>
      <c r="E34" s="12" t="s">
        <v>8</v>
      </c>
      <c r="F34" s="13">
        <f>(F29+2*(F30+F31+F32)+F33)/8/10000</f>
        <v>5.865866375</v>
      </c>
      <c r="G34" s="14">
        <f>(G29+2*(G30+G31+G32)+G33)/8</f>
        <v>2</v>
      </c>
      <c r="I34" s="12" t="s">
        <v>8</v>
      </c>
      <c r="J34" s="13">
        <f>(J29+2*(J30+J31+J32)+J33)/8/10000</f>
        <v>7.658173375</v>
      </c>
      <c r="K34" s="14">
        <f>(K29+2*(K30+K31+K32)+K33)/8</f>
        <v>2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WPS_1679039829</cp:lastModifiedBy>
  <dcterms:created xsi:type="dcterms:W3CDTF">2017-07-07T05:05:00Z</dcterms:created>
  <dcterms:modified xsi:type="dcterms:W3CDTF">2025-08-08T06:49:30Z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04C3DDA4CC014490A8B432F377A988CA_12</vt:lpwstr>
  </property>
</Properties>
</file>