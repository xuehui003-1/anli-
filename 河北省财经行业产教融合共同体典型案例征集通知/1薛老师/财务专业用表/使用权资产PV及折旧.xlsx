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<sst xmlns="http://schemas.openxmlformats.org/spreadsheetml/2006/main" count="46" uniqueCount="43">
  <si>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地点</t>
  </si>
  <si>
    <t>相赁期</t>
  </si>
  <si>
    <t>PV</t>
  </si>
  <si>
    <t>rate
折现率</t>
  </si>
  <si>
    <t xml:space="preserve">  nper期数
  </t>
  </si>
  <si>
    <t>pmt每期支付金额</t>
  </si>
  <si>
    <t>备注</t>
  </si>
  <si>
    <t>办公室租赁</t>
  </si>
  <si>
    <t>2026.4.1-2029.9.30</t>
  </si>
  <si>
    <t>2026.4.1-2029.9.30付的资金折现到2025年10月份</t>
  </si>
  <si>
    <t>2025.10.01-2029.9.30</t>
  </si>
  <si>
    <t>2025年10月份及2026.4.1-2029.9.30付的资金折现到2024年10月份</t>
  </si>
  <si>
    <t>2024.10.01-2025.09.30</t>
  </si>
  <si>
    <t>2024年10月份支付的租金不用折现</t>
  </si>
  <si>
    <t>合计</t>
  </si>
  <si>
    <t>使用权资产</t>
  </si>
  <si>
    <t>租赁负债-未确认融资费用</t>
  </si>
  <si>
    <t>租赁负债-租赁付款额</t>
  </si>
  <si>
    <t>使用权资产-累计折旧</t>
  </si>
  <si>
    <t>年份</t>
  </si>
  <si>
    <t>月度</t>
  </si>
  <si>
    <t>租赁负债月初余额</t>
  </si>
  <si>
    <r>
      <rPr>
        <b/>
        <sz val="12"/>
        <rFont val="宋体"/>
        <charset val="134"/>
      </rPr>
      <t>利息费用</t>
    </r>
    <r>
      <rPr>
        <sz val="12"/>
        <rFont val="宋体"/>
        <charset val="134"/>
      </rPr>
      <t xml:space="preserve"> </t>
    </r>
  </si>
  <si>
    <t>租赁付款额</t>
  </si>
  <si>
    <t>租赁负债月末余额</t>
  </si>
  <si>
    <t>使用权资产折旧额</t>
  </si>
  <si>
    <t>使用权资产净值</t>
  </si>
  <si>
    <t>a</t>
  </si>
  <si>
    <t>b=a*折现率</t>
  </si>
  <si>
    <t>c</t>
  </si>
  <si>
    <t>d=a+b-c</t>
  </si>
  <si>
    <t>e=a/8</t>
  </si>
  <si>
    <t>f=a-e</t>
  </si>
  <si>
    <t>2024-2029</t>
  </si>
  <si>
    <t>2025.10.01-2026.03.31</t>
  </si>
  <si>
    <t>2026.04.01-2026.09.30</t>
  </si>
  <si>
    <t>2026.10.01-2027.03.31</t>
  </si>
  <si>
    <t>2027.04.01-2027.09.30</t>
  </si>
  <si>
    <t>2027.10.01-2028.03.31</t>
  </si>
  <si>
    <t>2028.04.01-2028.09.30</t>
  </si>
  <si>
    <t>2028.10.01-2029.03.31</t>
  </si>
  <si>
    <t>2029.04.01-2029.09.30</t>
  </si>
  <si>
    <t>利息费用的计算方法就是用租赁负债月末余额*当期适用折现率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</si>
</sst>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%"/>
    <numFmt numFmtId="178" formatCode="0.0000%"/>
  </numFmts>
  <fonts count="26">
    <font>
      <sz val="11"/>
      <color theme="1"/>
      <name val="宋体"/>
      <charset val="134"/>
      <scheme val="minor"/>
    </font>
    <font>
      <sz val="12"/>
      <color rgb="FF000000"/>
      <name val="宋体"/>
      <charset val="204"/>
    </font>
    <font>
      <b/>
      <sz val="12"/>
      <name val="宋体"/>
      <charset val="134"/>
    </font>
    <font>
      <b/>
      <sz val="12"/>
      <color rgb="FF76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53000E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center" vertical="top" wrapText="1"/>
    </xf>
    <xf numFmtId="8" fontId="1" fillId="0" borderId="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 wrapText="1"/>
    </xf>
    <xf numFmtId="0" fontId="1" fillId="0" borderId="1" xfId="0" applyNumberFormat="1" applyFont="1" applyFill="1" applyBorder="1" applyAlignment="1">
      <alignment horizontal="center" wrapText="1"/>
    </xf>
    <xf numFmtId="0" fontId="4" fillId="0" borderId="2" xfId="0" applyNumberFormat="1" applyFont="1" applyFill="1" applyBorder="1" applyAlignment="1">
      <alignment horizontal="center" wrapText="1"/>
    </xf>
    <xf numFmtId="176" fontId="5" fillId="0" borderId="2" xfId="0" applyNumberFormat="1" applyFont="1" applyFill="1" applyBorder="1" applyAlignment="1">
      <alignment horizontal="center" wrapText="1"/>
    </xf>
    <xf numFmtId="177" fontId="4" fillId="0" borderId="2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wrapText="1"/>
    </xf>
    <xf numFmtId="176" fontId="5" fillId="0" borderId="1" xfId="0" applyNumberFormat="1" applyFont="1" applyFill="1" applyBorder="1" applyAlignment="1">
      <alignment horizontal="center" wrapText="1"/>
    </xf>
    <xf numFmtId="177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 wrapText="1"/>
    </xf>
    <xf numFmtId="176" fontId="5" fillId="0" borderId="3" xfId="0" applyNumberFormat="1" applyFont="1" applyFill="1" applyBorder="1" applyAlignment="1">
      <alignment horizontal="center" wrapText="1"/>
    </xf>
    <xf numFmtId="178" fontId="4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 wrapText="1"/>
    </xf>
    <xf numFmtId="0" fontId="1" fillId="0" borderId="4" xfId="0" applyNumberFormat="1" applyFont="1" applyFill="1" applyBorder="1" applyAlignment="1">
      <alignment horizontal="center" wrapText="1"/>
    </xf>
    <xf numFmtId="0" fontId="1" fillId="0" borderId="5" xfId="0" applyNumberFormat="1" applyFont="1" applyFill="1" applyBorder="1" applyAlignment="1">
      <alignment horizontal="center" wrapText="1"/>
    </xf>
    <xf numFmtId="8" fontId="1" fillId="0" borderId="2" xfId="0" applyNumberFormat="1" applyFont="1" applyFill="1" applyBorder="1" applyAlignment="1">
      <alignment horizontal="center" wrapText="1"/>
    </xf>
    <xf numFmtId="176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6" xfId="0" applyNumberFormat="1" applyFont="1" applyFill="1" applyBorder="1" applyAlignment="1">
      <alignment horizontal="center" wrapText="1"/>
    </xf>
    <xf numFmtId="0" fontId="1" fillId="0" borderId="7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0" fontId="6" fillId="0" borderId="3" xfId="0" applyNumberFormat="1" applyFont="1" applyFill="1" applyBorder="1" applyAlignment="1">
      <alignment horizontal="center" wrapText="1"/>
    </xf>
    <xf numFmtId="0" fontId="2" fillId="0" borderId="3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left" wrapText="1"/>
    </xf>
    <xf numFmtId="0" fontId="1" fillId="0" borderId="3" xfId="0" applyNumberFormat="1" applyFont="1" applyFill="1" applyBorder="1" applyAlignment="1">
      <alignment horizontal="center" vertical="center" wrapText="1"/>
    </xf>
    <xf numFmtId="176" fontId="1" fillId="0" borderId="3" xfId="0" applyNumberFormat="1" applyFont="1" applyFill="1" applyBorder="1" applyAlignment="1">
      <alignment horizontal="center" wrapText="1"/>
    </xf>
    <xf numFmtId="176" fontId="1" fillId="0" borderId="0" xfId="0" applyNumberFormat="1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22225</xdr:colOff>
      <xdr:row>10</xdr:row>
      <xdr:rowOff>19684</xdr:rowOff>
    </xdr:from>
    <xdr:ext cx="260984" cy="300354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" y="4210050"/>
          <a:ext cx="260350" cy="30035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103504</xdr:rowOff>
    </xdr:from>
    <xdr:ext cx="38100" cy="54610"/>
    <xdr:sp>
      <xdr:nvSpPr>
        <xdr:cNvPr id="3" name="textbox3"/>
        <xdr:cNvSpPr txBox="1"/>
      </xdr:nvSpPr>
      <xdr:spPr>
        <a:xfrm>
          <a:off x="0" y="5436870"/>
          <a:ext cx="38100" cy="5461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8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7000"/>
            </a:lnSpc>
          </a:pPr>
          <a:r>
            <a:rPr sz="2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</a:t>
          </a:r>
          <a:endParaRPr lang="zh-CN" altLang="en-US" sz="2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7" workbookViewId="0">
      <selection activeCell="C20" sqref="C20"/>
    </sheetView>
  </sheetViews>
  <sheetFormatPr defaultColWidth="9" defaultRowHeight="30" customHeight="1" outlineLevelCol="7"/>
  <cols>
    <col min="1" max="1" width="17.1296296296296" style="1" customWidth="1"/>
    <col min="2" max="2" width="22.6296296296296" style="1" customWidth="1"/>
    <col min="3" max="3" width="23.6296296296296" style="3" customWidth="1"/>
    <col min="4" max="4" width="31.6296296296296" style="3" customWidth="1"/>
    <col min="5" max="5" width="26.25" style="3" customWidth="1"/>
    <col min="6" max="6" width="23.6296296296296" style="3" customWidth="1"/>
    <col min="7" max="7" width="22.6296296296296" style="3" customWidth="1"/>
    <col min="8" max="8" width="23.1296296296296" style="3" customWidth="1"/>
    <col min="9" max="16384" width="9" style="1"/>
  </cols>
  <sheetData>
    <row r="1" s="1" customFormat="1" customHeight="1" spans="3:8">
      <c r="C1" s="4"/>
      <c r="D1" s="3"/>
      <c r="E1" s="3"/>
      <c r="F1" s="3"/>
      <c r="G1" s="3"/>
      <c r="H1" s="3"/>
    </row>
    <row r="2" s="2" customFormat="1" ht="60" customHeight="1" spans="1:8">
      <c r="A2" s="5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7" t="s">
        <v>6</v>
      </c>
      <c r="H2" s="7"/>
    </row>
    <row r="3" s="2" customFormat="1" customHeight="1" spans="1:8">
      <c r="A3" s="8" t="s">
        <v>7</v>
      </c>
      <c r="B3" s="8" t="s">
        <v>8</v>
      </c>
      <c r="C3" s="9">
        <f>PV(D3,7,F3)</f>
        <v>294343.059127722</v>
      </c>
      <c r="D3" s="10">
        <f>3.45%/2</f>
        <v>0.01725</v>
      </c>
      <c r="E3" s="11">
        <v>7</v>
      </c>
      <c r="F3" s="9">
        <v>-45000</v>
      </c>
      <c r="G3" s="12" t="s">
        <v>9</v>
      </c>
      <c r="H3" s="12"/>
    </row>
    <row r="4" s="2" customFormat="1" customHeight="1" spans="1:8">
      <c r="A4" s="13" t="s">
        <v>7</v>
      </c>
      <c r="B4" s="13" t="s">
        <v>10</v>
      </c>
      <c r="C4" s="14">
        <f>PV(D4,E4,F4)</f>
        <v>328026.156720851</v>
      </c>
      <c r="D4" s="15">
        <v>0.0345</v>
      </c>
      <c r="E4" s="16">
        <v>1</v>
      </c>
      <c r="F4" s="14">
        <f>-(C3+45000)</f>
        <v>-339343.059127722</v>
      </c>
      <c r="G4" s="7" t="s">
        <v>11</v>
      </c>
      <c r="H4" s="7"/>
    </row>
    <row r="5" s="2" customFormat="1" customHeight="1" spans="1:8">
      <c r="A5" s="17" t="s">
        <v>7</v>
      </c>
      <c r="B5" s="17" t="s">
        <v>12</v>
      </c>
      <c r="C5" s="18">
        <v>90000</v>
      </c>
      <c r="D5" s="19"/>
      <c r="E5" s="20"/>
      <c r="F5" s="18"/>
      <c r="G5" s="21" t="s">
        <v>13</v>
      </c>
      <c r="H5" s="21"/>
    </row>
    <row r="6" s="2" customFormat="1" customHeight="1" spans="1:8">
      <c r="A6" s="22" t="s">
        <v>14</v>
      </c>
      <c r="B6" s="23"/>
      <c r="C6" s="24">
        <f>C4+C5</f>
        <v>418026.156720851</v>
      </c>
      <c r="D6" s="25">
        <f>E6-C6</f>
        <v>31973.8432791486</v>
      </c>
      <c r="E6" s="26">
        <v>450000</v>
      </c>
      <c r="F6" s="26"/>
      <c r="G6" s="12"/>
      <c r="H6" s="12"/>
    </row>
    <row r="7" s="2" customFormat="1" customHeight="1" spans="1:8">
      <c r="A7" s="27"/>
      <c r="B7" s="28"/>
      <c r="C7" s="7" t="s">
        <v>15</v>
      </c>
      <c r="D7" s="29" t="s">
        <v>16</v>
      </c>
      <c r="E7" s="29" t="s">
        <v>17</v>
      </c>
      <c r="F7" s="7"/>
      <c r="G7" s="7" t="s">
        <v>18</v>
      </c>
      <c r="H7" s="7"/>
    </row>
    <row r="8" s="2" customFormat="1" customHeight="1" spans="1:8">
      <c r="A8" s="30" t="s">
        <v>19</v>
      </c>
      <c r="B8" s="30" t="s">
        <v>20</v>
      </c>
      <c r="C8" s="31" t="s">
        <v>21</v>
      </c>
      <c r="D8" s="32" t="s">
        <v>22</v>
      </c>
      <c r="E8" s="32" t="s">
        <v>23</v>
      </c>
      <c r="F8" s="32" t="s">
        <v>24</v>
      </c>
      <c r="G8" s="20" t="s">
        <v>25</v>
      </c>
      <c r="H8" s="20" t="s">
        <v>26</v>
      </c>
    </row>
    <row r="9" s="2" customFormat="1" customHeight="1" spans="1:8">
      <c r="A9" s="33"/>
      <c r="B9" s="33"/>
      <c r="C9" s="30" t="s">
        <v>27</v>
      </c>
      <c r="D9" s="32" t="s">
        <v>28</v>
      </c>
      <c r="E9" s="32" t="s">
        <v>29</v>
      </c>
      <c r="F9" s="32" t="s">
        <v>30</v>
      </c>
      <c r="G9" s="20" t="s">
        <v>31</v>
      </c>
      <c r="H9" s="20" t="s">
        <v>32</v>
      </c>
    </row>
    <row r="10" s="2" customFormat="1" customHeight="1" spans="1:8">
      <c r="A10" s="34" t="s">
        <v>33</v>
      </c>
      <c r="B10" s="17" t="s">
        <v>12</v>
      </c>
      <c r="C10" s="35">
        <f>C6</f>
        <v>418026.156720851</v>
      </c>
      <c r="D10" s="35"/>
      <c r="E10" s="35">
        <v>90000</v>
      </c>
      <c r="F10" s="35">
        <f t="shared" ref="F10:F18" si="0">C10+D10-E10</f>
        <v>328026.156720851</v>
      </c>
      <c r="G10" s="35">
        <f>C10/5</f>
        <v>83605.2313441703</v>
      </c>
      <c r="H10" s="35">
        <f t="shared" ref="H10:H18" si="1">$C$10-G10</f>
        <v>334420.925376681</v>
      </c>
    </row>
    <row r="11" s="2" customFormat="1" customHeight="1" spans="1:8">
      <c r="A11" s="34"/>
      <c r="B11" s="17" t="s">
        <v>34</v>
      </c>
      <c r="C11" s="35">
        <f t="shared" ref="C11:C18" si="2">F10</f>
        <v>328026.156720851</v>
      </c>
      <c r="D11" s="35">
        <f>C11*$D$4</f>
        <v>11316.9024068694</v>
      </c>
      <c r="E11" s="35">
        <v>45000</v>
      </c>
      <c r="F11" s="35">
        <f t="shared" si="0"/>
        <v>294343.059127721</v>
      </c>
      <c r="G11" s="35">
        <f>C10/5*1.5</f>
        <v>125407.847016255</v>
      </c>
      <c r="H11" s="35">
        <f t="shared" si="1"/>
        <v>292618.309704596</v>
      </c>
    </row>
    <row r="12" s="2" customFormat="1" customHeight="1" spans="1:8">
      <c r="A12" s="34"/>
      <c r="B12" s="17" t="s">
        <v>35</v>
      </c>
      <c r="C12" s="35">
        <f t="shared" si="2"/>
        <v>294343.059127721</v>
      </c>
      <c r="D12" s="35">
        <f>C12*$D$3</f>
        <v>5077.41776995318</v>
      </c>
      <c r="E12" s="35">
        <v>45000</v>
      </c>
      <c r="F12" s="35">
        <f t="shared" si="0"/>
        <v>254420.476897674</v>
      </c>
      <c r="G12" s="35">
        <f>C10/5*2</f>
        <v>167210.462688341</v>
      </c>
      <c r="H12" s="35">
        <f t="shared" si="1"/>
        <v>250815.694032511</v>
      </c>
    </row>
    <row r="13" s="2" customFormat="1" customHeight="1" spans="1:8">
      <c r="A13" s="34"/>
      <c r="B13" s="17" t="s">
        <v>36</v>
      </c>
      <c r="C13" s="35">
        <f t="shared" si="2"/>
        <v>254420.476897674</v>
      </c>
      <c r="D13" s="35">
        <f>C13*$D$3</f>
        <v>4388.75322648488</v>
      </c>
      <c r="E13" s="35">
        <v>45000</v>
      </c>
      <c r="F13" s="35">
        <f t="shared" si="0"/>
        <v>213809.230124159</v>
      </c>
      <c r="G13" s="35">
        <f>C10/5*2.5</f>
        <v>209013.078360426</v>
      </c>
      <c r="H13" s="35">
        <f t="shared" si="1"/>
        <v>209013.078360426</v>
      </c>
    </row>
    <row r="14" s="2" customFormat="1" customHeight="1" spans="1:8">
      <c r="A14" s="34"/>
      <c r="B14" s="17" t="s">
        <v>37</v>
      </c>
      <c r="C14" s="35">
        <f t="shared" si="2"/>
        <v>213809.230124159</v>
      </c>
      <c r="D14" s="35">
        <f>C14*$D$3</f>
        <v>3688.20921964174</v>
      </c>
      <c r="E14" s="35">
        <v>45000</v>
      </c>
      <c r="F14" s="35">
        <f t="shared" si="0"/>
        <v>172497.439343801</v>
      </c>
      <c r="G14" s="35">
        <f>C10/5*3</f>
        <v>250815.694032511</v>
      </c>
      <c r="H14" s="35">
        <f t="shared" si="1"/>
        <v>167210.462688341</v>
      </c>
    </row>
    <row r="15" s="2" customFormat="1" customHeight="1" spans="1:8">
      <c r="A15" s="34"/>
      <c r="B15" s="17" t="s">
        <v>38</v>
      </c>
      <c r="C15" s="35">
        <f t="shared" si="2"/>
        <v>172497.439343801</v>
      </c>
      <c r="D15" s="35">
        <f>C15*$D$3</f>
        <v>2975.58082868056</v>
      </c>
      <c r="E15" s="35">
        <v>45000</v>
      </c>
      <c r="F15" s="35">
        <f t="shared" si="0"/>
        <v>130473.020172481</v>
      </c>
      <c r="G15" s="35">
        <f>C10/5*3.5</f>
        <v>292618.309704596</v>
      </c>
      <c r="H15" s="35">
        <f t="shared" si="1"/>
        <v>125407.847016255</v>
      </c>
    </row>
    <row r="16" s="2" customFormat="1" customHeight="1" spans="1:8">
      <c r="A16" s="34"/>
      <c r="B16" s="17" t="s">
        <v>39</v>
      </c>
      <c r="C16" s="35">
        <f t="shared" si="2"/>
        <v>130473.020172481</v>
      </c>
      <c r="D16" s="35">
        <f>C16*$D$3</f>
        <v>2250.6595979753</v>
      </c>
      <c r="E16" s="35">
        <v>45000</v>
      </c>
      <c r="F16" s="35">
        <f t="shared" si="0"/>
        <v>87723.6797704565</v>
      </c>
      <c r="G16" s="35">
        <f>C10/5*4</f>
        <v>334420.925376681</v>
      </c>
      <c r="H16" s="35">
        <f t="shared" si="1"/>
        <v>83605.2313441703</v>
      </c>
    </row>
    <row r="17" s="2" customFormat="1" customHeight="1" spans="1:8">
      <c r="A17" s="34"/>
      <c r="B17" s="17" t="s">
        <v>40</v>
      </c>
      <c r="C17" s="35">
        <f t="shared" si="2"/>
        <v>87723.6797704565</v>
      </c>
      <c r="D17" s="35">
        <f>C17*$D$3</f>
        <v>1513.23347604037</v>
      </c>
      <c r="E17" s="35">
        <v>45000</v>
      </c>
      <c r="F17" s="35">
        <f t="shared" si="0"/>
        <v>44236.9132464968</v>
      </c>
      <c r="G17" s="35">
        <f>C10/5*4.5</f>
        <v>376223.541048766</v>
      </c>
      <c r="H17" s="35">
        <f t="shared" si="1"/>
        <v>41802.6156720851</v>
      </c>
    </row>
    <row r="18" s="2" customFormat="1" customHeight="1" spans="1:8">
      <c r="A18" s="21"/>
      <c r="B18" s="17" t="s">
        <v>41</v>
      </c>
      <c r="C18" s="35">
        <f t="shared" si="2"/>
        <v>44236.9132464968</v>
      </c>
      <c r="D18" s="35">
        <f>C18*$D$3</f>
        <v>763.08675350207</v>
      </c>
      <c r="E18" s="35">
        <v>45000</v>
      </c>
      <c r="F18" s="35">
        <f t="shared" si="0"/>
        <v>-1.0986695997417e-9</v>
      </c>
      <c r="G18" s="35">
        <f>C10/5*5</f>
        <v>418026.156720851</v>
      </c>
      <c r="H18" s="35">
        <f t="shared" si="1"/>
        <v>0</v>
      </c>
    </row>
    <row r="19" s="1" customFormat="1" customHeight="1" spans="3:8">
      <c r="C19" s="3"/>
      <c r="D19" s="3"/>
      <c r="E19" s="3"/>
      <c r="F19" s="36"/>
      <c r="G19" s="3"/>
      <c r="H19" s="3"/>
    </row>
    <row r="20" customHeight="1" spans="2:2">
      <c r="B20" s="1" t="s">
        <v>42</v>
      </c>
    </row>
  </sheetData>
  <mergeCells count="7">
    <mergeCell ref="G2:H2"/>
    <mergeCell ref="G3:H3"/>
    <mergeCell ref="G4:H4"/>
    <mergeCell ref="G5:H5"/>
    <mergeCell ref="G6:H6"/>
    <mergeCell ref="A10:A18"/>
    <mergeCell ref="A6:B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WPS_1679039829</cp:lastModifiedBy>
  <dcterms:created xsi:type="dcterms:W3CDTF">2024-10-30T09:50:00Z</dcterms:created>
  <dcterms:modified xsi:type="dcterms:W3CDTF">2024-10-31T09:29:27Z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10C0D6806BA7442D8A2048EEB365338C_11</vt:lpwstr>
  </property>
  <property fmtid="{D5CDD505-2E9C-101B-9397-08002B2CF9AE}" pid="3" name="KSOProductBuildVer">
    <vt:lpwstr>2052-12.1.0.18608</vt:lpwstr>
  </property>
</Properties>
</file>